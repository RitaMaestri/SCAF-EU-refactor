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utation" sheetId="1" state="visible" r:id="rId2"/>
    <sheet name="import data" sheetId="2" state="visible" r:id="rId3"/>
  </sheets>
  <externalReferences>
    <externalReference r:id="rId4"/>
    <externalReference r:id="rId5"/>
  </externalReferences>
  <calcPr iterateCount="100" refMode="A1" iterate="false" iterateDelta="1E-0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<sst xmlns="http://schemas.openxmlformats.org/spreadsheetml/2006/main" count="44" uniqueCount="14">
  <si>
    <t xml:space="preserve">Price</t>
  </si>
  <si>
    <t xml:space="preserve">TEST PASSED</t>
  </si>
  <si>
    <t xml:space="preserve">REMIND-MAgPIE 3.2-4.6</t>
  </si>
  <si>
    <t xml:space="preserve">Below 2°C</t>
  </si>
  <si>
    <t xml:space="preserve">REMIND-MAgPIE 3.2-4.6|Canada, NZ, Australia</t>
  </si>
  <si>
    <t xml:space="preserve">Value</t>
  </si>
  <si>
    <t xml:space="preserve">AGRICULTURE</t>
  </si>
  <si>
    <t xml:space="preserve">CH</t>
  </si>
  <si>
    <t xml:space="preserve">FRE</t>
  </si>
  <si>
    <t xml:space="preserve">IND</t>
  </si>
  <si>
    <t xml:space="preserve">PAS</t>
  </si>
  <si>
    <t xml:space="preserve">PE</t>
  </si>
  <si>
    <t xml:space="preserve">R&amp;C</t>
  </si>
  <si>
    <t xml:space="preserve">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</si>
</sst>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5EB91E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cache/aggregated_output.csv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cache/calibration_output.csv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ggregated_output"/>
    </sheetNames>
    <sheetDataSet>
      <sheetData sheetId="0">
        <row r="674">
          <cell r="G674">
            <v>11697.9760513041</v>
          </cell>
        </row>
      </sheetData>
    </sheetDataSet>
  </externalBook>
</externalLink>
</file>

<file path=xl/externalLinks/externalLink2.xml><?xml version="1.0" encoding="UTF-8" standalone="yes"?>
<externalLink xmlns="http://schemas.openxmlformats.org/spreadsheetml/2006/main"><externalBook xmlns:r="http://schemas.openxmlformats.org/officeDocument/2006/relationships" r:id="rId1"><sheetNames><sheetName val="calibration_output"/></sheetNames><sheetDataSet><sheetData sheetId="0"><row r="1"><cell r="A1" t="str"><v>Model</v></cell><cell r="B1" t="str"><v>Scenario</v></cell><cell r="C1" t="str"><v>Region</v></cell><cell r="D1" t="str"><v>Variable</v></cell><cell r="E1" t="str"><v>Energy consumers</v></cell><cell r="F1" t="str"><v>Energy uses</v></cell><cell r="G1" t="str"><v>Unit</v></cell><cell r="H1"><v>2020</v></cell></row><row r="2"><cell r="A2" t="str"><v>REMIND-MAgPIE 3.2-4.6</v></cell><cell r="B2" t="str"><v>Below 2°C</v></cell><cell r="C2" t="str"><v>REMIND-MAgPIE 3.2-4.6|Canada, NZ, Australia</v></cell><cell r="D2" t="str"><v>Volume</v></cell><cell r="E2" t="str"><v>AGRICULTURE</v></cell><cell r="F2" t="str"><v>CH</v></cell><cell r="G2" t="str"><v>EJ/y</v></cell><cell r="H2"><v>0</v></cell></row><row r="3"><cell r="A3" t="str"><v>REMIND-MAgPIE 3.2-4.6</v></cell><cell r="B3" t="str"><v>Below 2°C</v></cell><cell r="C3" t="str"><v>REMIND-MAgPIE 3.2-4.6|Canada, NZ, Australia</v></cell><cell r="D3" t="str"><v>Volume</v></cell><cell r="E3" t="str"><v>AGRICULTURE</v></cell><cell r="F3" t="str"><v>FRE</v></cell><cell r="G3" t="str"><v>EJ/y</v></cell><cell r="H3"><v>0.00622434618119004</v></cell></row><row r="4"><cell r="A4" t="str"><v>REMIND-MAgPIE 3.2-4.6</v></cell><cell r="B4" t="str"><v>Below 2°C</v></cell><cell r="C4" t="str"><v>REMIND-MAgPIE 3.2-4.6|Canada, NZ, Australia</v></cell><cell r="D4" t="str"><v>Volume</v></cell><cell r="E4" t="str"><v>AGRICULTURE</v></cell><cell r="F4" t="str"><v>IND</v></cell><cell r="G4" t="str"><v>EJ/y</v></cell><cell r="H4"><v>0.391822</v></cell></row><row r="5"><cell r="A5" t="str"><v>REMIND-MAgPIE 3.2-4.6</v></cell><cell r="B5" t="str"><v>Below 2°C</v></cell><cell r="C5" t="str"><v>REMIND-MAgPIE 3.2-4.6|Canada, NZ, Australia</v></cell><cell r="D5" t="str"><v>Volume</v></cell><cell r="E5" t="str"><v>AGRICULTURE</v></cell><cell r="F5" t="str"><v>PAS</v></cell><cell r="G5" t="str"><v>EJ/y</v></cell><cell r="H5"><v>0</v></cell></row><row r="6"><cell r="A6" t="str"><v>REMIND-MAgPIE 3.2-4.6</v></cell><cell r="B6" t="str"><v>Below 2°C</v></cell><cell r="C6" t="str"><v>REMIND-MAgPIE 3.2-4.6|Canada, NZ, Australia</v></cell><cell r="D6" t="str"><v>Volume</v></cell><cell r="E6" t="str"><v>AGRICULTURE</v></cell><cell r="F6" t="str"><v>PE</v></cell><cell r="G6" t="str"><v>EJ/y</v></cell><cell r="H6"><v>0</v></cell></row><row r="7"><cell r="A7" t="str"><v>REMIND-MAgPIE 3.2-4.6</v></cell><cell r="B7" t="str"><v>Below 2°C</v></cell><cell r="C7" t="str"><v>REMIND-MAgPIE 3.2-4.6|Canada, NZ, Australia</v></cell><cell r="D7" t="str"><v>Volume</v></cell><cell r="E7" t="str"><v>AGRICULTURE</v></cell><cell r="F7" t="str"><v>R&C</v></cell><cell r="G7" t="str"><v>EJ/y</v></cell><cell r="H7"><v>0</v></cell></row><row r="8"><cell r="A8" t="str"><v>REMIND-MAgPIE 3.2-4.6</v></cell><cell r="B8" t="str"><v>Below 2°C</v></cell><cell r="C8" t="str"><v>REMIND-MAgPIE 3.2-4.6|Canada, NZ, Australia</v></cell><cell r="D8" t="str"><v>Volume</v></cell><cell r="E8" t="str"><v>AGRICULTURE</v></cell><cell r="F8" t="str"><v>ST</v></cell><cell r="G8" t="str"><v>EJ/y</v></cell><cell r="H8"><v>0</v></cell></row><row r="9"><cell r="A9" t="str"><v>REMIND-MAgPIE 3.2-4.6</v></cell><cell r="B9" t="str"><v>Below 2°C</v></cell></row><row r="10"><cell r="A10" t="str"><v>REMIND-MAgPIE 3.2-4.6</v></cell><cell r="B10" t="str"><v>Below 2°C</v></cell></row><row r="11"><cell r="A11" t="str"><v>REMIND-MAgPIE 3.2-4.6</v></cell><cell r="B11" t="str"><v>Below 2°C</v></cell></row><row r="12"><cell r="A12" t="str"><v>REMIND-MAgPIE 3.2-4.6</v></cell><cell r="B12" t="str"><v>Below 2°C</v></cell></row><row r="13"><cell r="A13" t="str"><v>REMIND-MAgPIE 3.2-4.6</v></cell><cell r="B13" t="str"><v>Below 2°C</v></cell></row><row r="14"><cell r="A14" t="str"><v>REMIND-MAgPIE 3.2-4.6</v></cell><cell r="B14" t="str"><v>Below 2°C</v></cell></row><row r="15"><cell r="A15" t="str"><v>REMIND-MAgPIE 3.2-4.6</v></cell><cell r="B15" t="str"><v>Below 2°C</v></cell></row><row r="58"><cell r="C58" t="str"><v>REMIND-MAgPIE 3.2-4.6|Canada, NZ, Australia</v></cell><cell r="D58" t="str"><v>Price</v></cell><cell r="E58" t="str"><v>AGRICULTURE</v></cell><cell r="F58" t="str"><v>CH</v></cell><cell r="G58" t="str"><v>US$2010/GJ</v></cell><cell r="H58"><v>11112.7981806255</v></cell></row><row r="59"><cell r="C59" t="str"><v>REMIND-MAgPIE 3.2-4.6|Canada, NZ, Australia</v></cell><cell r="D59" t="str"><v>Price</v></cell><cell r="E59" t="str"><v>AGRICULTURE</v></cell><cell r="F59" t="str"><v>FRE</v></cell><cell r="G59" t="str"><v>US$2010/GJ</v></cell><cell r="H59"><v>20747.5913997858</v></cell></row><row r="60"><cell r="C60" t="str"><v>REMIND-MAgPIE 3.2-4.6|Canada, NZ, Australia</v></cell><cell r="D60" t="str"><v>Price</v></cell><cell r="E60" t="str"><v>AGRICULTURE</v></cell><cell r="F60" t="str"><v>IND</v></cell><cell r="G60" t="str"><v>US$2010/GJ</v></cell><cell r="H60"><v>11554.2170517186</v></cell></row><row r="61"><cell r="C61" t="str"><v>REMIND-MAgPIE 3.2-4.6|Canada, NZ, Australia</v></cell><cell r="D61" t="str"><v>Price</v></cell><cell r="E61" t="str"><v>AGRICULTURE</v></cell><cell r="F61" t="str"><v>PAS</v></cell><cell r="G61" t="str"><v>US$2010/GJ</v></cell><cell r="H61"><v>20734.2309040017</v></cell></row><row r="62"><cell r="C62" t="str"><v>REMIND-MAgPIE 3.2-4.6|Canada, NZ, Australia</v></cell><cell r="D62" t="str"><v>Price</v></cell><cell r="E62" t="str"><v>AGRICULTURE</v></cell><cell r="F62" t="str"><v>PE</v></cell><cell r="G62" t="str"><v>US$2010/GJ</v></cell><cell r="H62"><v>5593.63567805911</v></cell></row><row r="63"><cell r="C63" t="str"><v>REMIND-MAgPIE 3.2-4.6|Canada, NZ, Australia</v></cell><cell r="D63" t="str"><v>Price</v></cell><cell r="E63" t="str"><v>AGRICULTURE</v></cell><cell r="F63" t="str"><v>R&C</v></cell><cell r="G63" t="str"><v>US$2010/GJ</v></cell><cell r="H63"><v>12724.9891182893</v></cell></row><row r="64"><cell r="C64" t="str"><v>REMIND-MAgPIE 3.2-4.6|Canada, NZ, Australia</v></cell><cell r="D64" t="str"><v>Price</v></cell><cell r="E64" t="str"><v>AGRICULTURE</v></cell><cell r="F64" t="str"><v>ST</v></cell><cell r="G64" t="str"><v>US$2010/GJ</v></cell><cell r="H64"><v>7836.00106104334</v></cell></row></sheetData></sheetDataSet></externalBook>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18" activeCellId="0" sqref="E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95"/>
  </cols>
  <sheetData>
    <row r="1" customFormat="false" ht="12.8" hidden="false" customHeight="false" outlineLevel="0" collapsed="false">
      <c r="A1" s="0" t="str">
        <f aca="false">'import data'!A1</f>
        <v>Model</v>
      </c>
      <c r="B1" s="0" t="str">
        <f aca="false">'import data'!B1</f>
        <v>Scenario</v>
      </c>
      <c r="C1" s="0" t="str">
        <f aca="false">'import data'!C1</f>
        <v>Region</v>
      </c>
      <c r="D1" s="0" t="str">
        <f aca="false">'import data'!D1</f>
        <v>Variable</v>
      </c>
      <c r="E1" s="0" t="str">
        <f aca="false">'import data'!E1</f>
        <v>Energy consumers</v>
      </c>
      <c r="F1" s="0" t="n">
        <v>2020</v>
      </c>
    </row>
    <row r="2" customFormat="false" ht="12.8" hidden="false" customHeight="false" outlineLevel="0" collapsed="false">
      <c r="A2" s="0" t="str">
        <f aca="false">'import data'!A2</f>
        <v>REMIND-MAgPIE 3.2-4.6</v>
      </c>
      <c r="B2" s="0" t="str">
        <f aca="false">'import data'!B2</f>
        <v>Below 2°C</v>
      </c>
      <c r="C2" s="0" t="str">
        <f aca="false">'import data'!C2</f>
        <v>REMIND-MAgPIE 3.2-4.6|Canada, NZ, Australia</v>
      </c>
      <c r="D2" s="0" t="s">
        <v>0</v>
      </c>
      <c r="E2" s="0" t="str">
        <f aca="false">'import data'!E2</f>
        <v>AGRICULTURE</v>
      </c>
      <c r="F2" s="0" t="n">
        <f aca="false">SUM('import data'!H16:H22)/SUM('import data'!H2:H8)</f>
        <v>11697.9760513041</v>
      </c>
    </row>
    <row r="4" customFormat="false" ht="12.8" hidden="false" customHeight="false" outlineLevel="0" collapsed="false">
      <c r="A4" s="1" t="s">
        <v>1</v>
      </c>
      <c r="B4" s="2" t="b">
        <f aca="false">IF(F2-[1]aggregated_output!G674=0, TRUE())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16" activeCellId="0" sqref="H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tr">
        <f aca="false">[2]calibration_output!A1</f>
        <v>Model</v>
      </c>
      <c r="B1" s="0" t="str">
        <f aca="false">[2]calibration_output!B1</f>
        <v>Scenario</v>
      </c>
      <c r="C1" s="0" t="str">
        <f aca="false">[2]calibration_output!C1</f>
        <v>Region</v>
      </c>
      <c r="D1" s="0" t="str">
        <f aca="false">[2]calibration_output!D1</f>
        <v>Variable</v>
      </c>
      <c r="E1" s="0" t="str">
        <f aca="false">[2]calibration_output!E1</f>
        <v>Energy consumers</v>
      </c>
      <c r="F1" s="0" t="str">
        <f aca="false">[2]calibration_output!F1</f>
        <v>Energy uses</v>
      </c>
      <c r="G1" s="0" t="str">
        <f aca="false">[2]calibration_output!G1</f>
        <v>Unit</v>
      </c>
      <c r="H1" s="0" t="n">
        <f aca="false">[2]calibration_output!H1</f>
        <v>2020</v>
      </c>
    </row>
    <row r="2" customFormat="false" ht="12.8" hidden="false" customHeight="false" outlineLevel="0" collapsed="false">
      <c r="A2" s="0" t="str">
        <f aca="false">[2]calibration_output!A2</f>
        <v>REMIND-MAgPIE 3.2-4.6</v>
      </c>
      <c r="B2" s="0" t="str">
        <f aca="false">[2]calibration_output!B2</f>
        <v>Below 2°C</v>
      </c>
      <c r="C2" s="0" t="str">
        <f aca="false">[2]calibration_output!C2</f>
        <v>REMIND-MAgPIE 3.2-4.6|Canada, NZ, Australia</v>
      </c>
      <c r="D2" s="0" t="str">
        <f aca="false">[2]calibration_output!D2</f>
        <v>Volume</v>
      </c>
      <c r="E2" s="0" t="str">
        <f aca="false">[2]calibration_output!E2</f>
        <v>AGRICULTURE</v>
      </c>
      <c r="F2" s="0" t="str">
        <f aca="false">[2]calibration_output!F2</f>
        <v>CH</v>
      </c>
      <c r="G2" s="0" t="str">
        <f aca="false">[2]calibration_output!G2</f>
        <v>EJ/y</v>
      </c>
      <c r="H2" s="0" t="n">
        <f aca="false">[2]calibration_output!H2</f>
        <v>0</v>
      </c>
    </row>
    <row r="3" customFormat="false" ht="12.8" hidden="false" customHeight="false" outlineLevel="0" collapsed="false">
      <c r="A3" s="0" t="str">
        <f aca="false">[2]calibration_output!A3</f>
        <v>REMIND-MAgPIE 3.2-4.6</v>
      </c>
      <c r="B3" s="0" t="str">
        <f aca="false">[2]calibration_output!B3</f>
        <v>Below 2°C</v>
      </c>
      <c r="C3" s="0" t="str">
        <f aca="false">[2]calibration_output!C3</f>
        <v>REMIND-MAgPIE 3.2-4.6|Canada, NZ, Australia</v>
      </c>
      <c r="D3" s="0" t="str">
        <f aca="false">[2]calibration_output!D3</f>
        <v>Volume</v>
      </c>
      <c r="E3" s="0" t="str">
        <f aca="false">[2]calibration_output!E3</f>
        <v>AGRICULTURE</v>
      </c>
      <c r="F3" s="0" t="str">
        <f aca="false">[2]calibration_output!F3</f>
        <v>FRE</v>
      </c>
      <c r="G3" s="0" t="str">
        <f aca="false">[2]calibration_output!G3</f>
        <v>EJ/y</v>
      </c>
      <c r="H3" s="0" t="n">
        <f aca="false">[2]calibration_output!H3</f>
        <v>0.00622434618119004</v>
      </c>
    </row>
    <row r="4" customFormat="false" ht="12.8" hidden="false" customHeight="false" outlineLevel="0" collapsed="false">
      <c r="A4" s="0" t="str">
        <f aca="false">[2]calibration_output!A4</f>
        <v>REMIND-MAgPIE 3.2-4.6</v>
      </c>
      <c r="B4" s="0" t="str">
        <f aca="false">[2]calibration_output!B4</f>
        <v>Below 2°C</v>
      </c>
      <c r="C4" s="0" t="str">
        <f aca="false">[2]calibration_output!C4</f>
        <v>REMIND-MAgPIE 3.2-4.6|Canada, NZ, Australia</v>
      </c>
      <c r="D4" s="0" t="str">
        <f aca="false">[2]calibration_output!D4</f>
        <v>Volume</v>
      </c>
      <c r="E4" s="0" t="str">
        <f aca="false">[2]calibration_output!E4</f>
        <v>AGRICULTURE</v>
      </c>
      <c r="F4" s="0" t="str">
        <f aca="false">[2]calibration_output!F4</f>
        <v>IND</v>
      </c>
      <c r="G4" s="0" t="str">
        <f aca="false">[2]calibration_output!G4</f>
        <v>EJ/y</v>
      </c>
      <c r="H4" s="0" t="n">
        <f aca="false">[2]calibration_output!H4</f>
        <v>0.391822</v>
      </c>
    </row>
    <row r="5" customFormat="false" ht="12.8" hidden="false" customHeight="false" outlineLevel="0" collapsed="false">
      <c r="A5" s="0" t="str">
        <f aca="false">[2]calibration_output!A5</f>
        <v>REMIND-MAgPIE 3.2-4.6</v>
      </c>
      <c r="B5" s="0" t="str">
        <f aca="false">[2]calibration_output!B5</f>
        <v>Below 2°C</v>
      </c>
      <c r="C5" s="0" t="str">
        <f aca="false">[2]calibration_output!C5</f>
        <v>REMIND-MAgPIE 3.2-4.6|Canada, NZ, Australia</v>
      </c>
      <c r="D5" s="0" t="str">
        <f aca="false">[2]calibration_output!D5</f>
        <v>Volume</v>
      </c>
      <c r="E5" s="0" t="str">
        <f aca="false">[2]calibration_output!E5</f>
        <v>AGRICULTURE</v>
      </c>
      <c r="F5" s="0" t="str">
        <f aca="false">[2]calibration_output!F5</f>
        <v>PAS</v>
      </c>
      <c r="G5" s="0" t="str">
        <f aca="false">[2]calibration_output!G5</f>
        <v>EJ/y</v>
      </c>
      <c r="H5" s="0" t="n">
        <f aca="false">[2]calibration_output!H5</f>
        <v>0</v>
      </c>
    </row>
    <row r="6" customFormat="false" ht="12.8" hidden="false" customHeight="false" outlineLevel="0" collapsed="false">
      <c r="A6" s="0" t="str">
        <f aca="false">[2]calibration_output!A6</f>
        <v>REMIND-MAgPIE 3.2-4.6</v>
      </c>
      <c r="B6" s="0" t="str">
        <f aca="false">[2]calibration_output!B6</f>
        <v>Below 2°C</v>
      </c>
      <c r="C6" s="0" t="str">
        <f aca="false">[2]calibration_output!C6</f>
        <v>REMIND-MAgPIE 3.2-4.6|Canada, NZ, Australia</v>
      </c>
      <c r="D6" s="0" t="str">
        <f aca="false">[2]calibration_output!D6</f>
        <v>Volume</v>
      </c>
      <c r="E6" s="0" t="str">
        <f aca="false">[2]calibration_output!E6</f>
        <v>AGRICULTURE</v>
      </c>
      <c r="F6" s="0" t="str">
        <f aca="false">[2]calibration_output!F6</f>
        <v>PE</v>
      </c>
      <c r="G6" s="0" t="str">
        <f aca="false">[2]calibration_output!G6</f>
        <v>EJ/y</v>
      </c>
      <c r="H6" s="0" t="n">
        <f aca="false">[2]calibration_output!H6</f>
        <v>0</v>
      </c>
    </row>
    <row r="7" customFormat="false" ht="12.8" hidden="false" customHeight="false" outlineLevel="0" collapsed="false">
      <c r="A7" s="0" t="str">
        <f aca="false">[2]calibration_output!A7</f>
        <v>REMIND-MAgPIE 3.2-4.6</v>
      </c>
      <c r="B7" s="0" t="str">
        <f aca="false">[2]calibration_output!B7</f>
        <v>Below 2°C</v>
      </c>
      <c r="C7" s="0" t="str">
        <f aca="false">[2]calibration_output!C7</f>
        <v>REMIND-MAgPIE 3.2-4.6|Canada, NZ, Australia</v>
      </c>
      <c r="D7" s="0" t="str">
        <f aca="false">[2]calibration_output!D7</f>
        <v>Volume</v>
      </c>
      <c r="E7" s="0" t="str">
        <f aca="false">[2]calibration_output!E7</f>
        <v>AGRICULTURE</v>
      </c>
      <c r="F7" s="0" t="str">
        <f aca="false">[2]calibration_output!F7</f>
        <v>R&amp;C</v>
      </c>
      <c r="G7" s="0" t="str">
        <f aca="false">[2]calibration_output!G7</f>
        <v>EJ/y</v>
      </c>
      <c r="H7" s="0" t="n">
        <f aca="false">[2]calibration_output!H7</f>
        <v>0</v>
      </c>
    </row>
    <row r="8" customFormat="false" ht="12.8" hidden="false" customHeight="false" outlineLevel="0" collapsed="false">
      <c r="A8" s="0" t="str">
        <f aca="false">[2]calibration_output!A8</f>
        <v>REMIND-MAgPIE 3.2-4.6</v>
      </c>
      <c r="B8" s="0" t="str">
        <f aca="false">[2]calibration_output!B8</f>
        <v>Below 2°C</v>
      </c>
      <c r="C8" s="0" t="str">
        <f aca="false">[2]calibration_output!C8</f>
        <v>REMIND-MAgPIE 3.2-4.6|Canada, NZ, Australia</v>
      </c>
      <c r="D8" s="0" t="str">
        <f aca="false">[2]calibration_output!D8</f>
        <v>Volume</v>
      </c>
      <c r="E8" s="0" t="str">
        <f aca="false">[2]calibration_output!E8</f>
        <v>AGRICULTURE</v>
      </c>
      <c r="F8" s="0" t="str">
        <f aca="false">[2]calibration_output!F8</f>
        <v>ST</v>
      </c>
      <c r="G8" s="0" t="str">
        <f aca="false">[2]calibration_output!G8</f>
        <v>EJ/y</v>
      </c>
      <c r="H8" s="0" t="n">
        <f aca="false">[2]calibration_output!H8</f>
        <v>0</v>
      </c>
    </row>
    <row r="9" customFormat="false" ht="12.8" hidden="false" customHeight="false" outlineLevel="0" collapsed="false">
      <c r="A9" s="0" t="str">
        <f aca="false">[2]calibration_output!A9</f>
        <v>REMIND-MAgPIE 3.2-4.6</v>
      </c>
      <c r="B9" s="0" t="str">
        <f aca="false">[2]calibration_output!B9</f>
        <v>Below 2°C</v>
      </c>
      <c r="C9" s="0" t="str">
        <f aca="false">[2]calibration_output!C58</f>
        <v>REMIND-MAgPIE 3.2-4.6|Canada, NZ, Australia</v>
      </c>
      <c r="D9" s="0" t="str">
        <f aca="false">[2]calibration_output!D58</f>
        <v>Price</v>
      </c>
      <c r="E9" s="0" t="str">
        <f aca="false">[2]calibration_output!E58</f>
        <v>AGRICULTURE</v>
      </c>
      <c r="F9" s="0" t="str">
        <f aca="false">[2]calibration_output!F58</f>
        <v>CH</v>
      </c>
      <c r="G9" s="0" t="str">
        <f aca="false">[2]calibration_output!G58</f>
        <v>US$2010/GJ</v>
      </c>
      <c r="H9" s="0" t="n">
        <f aca="false">[2]calibration_output!H58</f>
        <v>11112.7981806255</v>
      </c>
    </row>
    <row r="10" customFormat="false" ht="12.8" hidden="false" customHeight="false" outlineLevel="0" collapsed="false">
      <c r="A10" s="0" t="str">
        <f aca="false">[2]calibration_output!A10</f>
        <v>REMIND-MAgPIE 3.2-4.6</v>
      </c>
      <c r="B10" s="0" t="str">
        <f aca="false">[2]calibration_output!B10</f>
        <v>Below 2°C</v>
      </c>
      <c r="C10" s="0" t="str">
        <f aca="false">[2]calibration_output!C59</f>
        <v>REMIND-MAgPIE 3.2-4.6|Canada, NZ, Australia</v>
      </c>
      <c r="D10" s="0" t="str">
        <f aca="false">[2]calibration_output!D59</f>
        <v>Price</v>
      </c>
      <c r="E10" s="0" t="str">
        <f aca="false">[2]calibration_output!E59</f>
        <v>AGRICULTURE</v>
      </c>
      <c r="F10" s="0" t="str">
        <f aca="false">[2]calibration_output!F59</f>
        <v>FRE</v>
      </c>
      <c r="G10" s="0" t="str">
        <f aca="false">[2]calibration_output!G59</f>
        <v>US$2010/GJ</v>
      </c>
      <c r="H10" s="0" t="n">
        <f aca="false">[2]calibration_output!H59</f>
        <v>20747.5913997858</v>
      </c>
    </row>
    <row r="11" customFormat="false" ht="12.8" hidden="false" customHeight="false" outlineLevel="0" collapsed="false">
      <c r="A11" s="0" t="str">
        <f aca="false">[2]calibration_output!A11</f>
        <v>REMIND-MAgPIE 3.2-4.6</v>
      </c>
      <c r="B11" s="0" t="str">
        <f aca="false">[2]calibration_output!B11</f>
        <v>Below 2°C</v>
      </c>
      <c r="C11" s="0" t="str">
        <f aca="false">[2]calibration_output!C60</f>
        <v>REMIND-MAgPIE 3.2-4.6|Canada, NZ, Australia</v>
      </c>
      <c r="D11" s="0" t="str">
        <f aca="false">[2]calibration_output!D60</f>
        <v>Price</v>
      </c>
      <c r="E11" s="0" t="str">
        <f aca="false">[2]calibration_output!E60</f>
        <v>AGRICULTURE</v>
      </c>
      <c r="F11" s="0" t="str">
        <f aca="false">[2]calibration_output!F60</f>
        <v>IND</v>
      </c>
      <c r="G11" s="0" t="str">
        <f aca="false">[2]calibration_output!G60</f>
        <v>US$2010/GJ</v>
      </c>
      <c r="H11" s="0" t="n">
        <f aca="false">[2]calibration_output!H60</f>
        <v>11554.2170517186</v>
      </c>
    </row>
    <row r="12" customFormat="false" ht="12.8" hidden="false" customHeight="false" outlineLevel="0" collapsed="false">
      <c r="A12" s="0" t="str">
        <f aca="false">[2]calibration_output!A12</f>
        <v>REMIND-MAgPIE 3.2-4.6</v>
      </c>
      <c r="B12" s="0" t="str">
        <f aca="false">[2]calibration_output!B12</f>
        <v>Below 2°C</v>
      </c>
      <c r="C12" s="0" t="str">
        <f aca="false">[2]calibration_output!C61</f>
        <v>REMIND-MAgPIE 3.2-4.6|Canada, NZ, Australia</v>
      </c>
      <c r="D12" s="0" t="str">
        <f aca="false">[2]calibration_output!D61</f>
        <v>Price</v>
      </c>
      <c r="E12" s="0" t="str">
        <f aca="false">[2]calibration_output!E61</f>
        <v>AGRICULTURE</v>
      </c>
      <c r="F12" s="0" t="str">
        <f aca="false">[2]calibration_output!F61</f>
        <v>PAS</v>
      </c>
      <c r="G12" s="0" t="str">
        <f aca="false">[2]calibration_output!G61</f>
        <v>US$2010/GJ</v>
      </c>
      <c r="H12" s="0" t="n">
        <f aca="false">[2]calibration_output!H61</f>
        <v>20734.2309040017</v>
      </c>
    </row>
    <row r="13" customFormat="false" ht="12.8" hidden="false" customHeight="false" outlineLevel="0" collapsed="false">
      <c r="A13" s="0" t="str">
        <f aca="false">[2]calibration_output!A13</f>
        <v>REMIND-MAgPIE 3.2-4.6</v>
      </c>
      <c r="B13" s="0" t="str">
        <f aca="false">[2]calibration_output!B13</f>
        <v>Below 2°C</v>
      </c>
      <c r="C13" s="0" t="str">
        <f aca="false">[2]calibration_output!C62</f>
        <v>REMIND-MAgPIE 3.2-4.6|Canada, NZ, Australia</v>
      </c>
      <c r="D13" s="0" t="str">
        <f aca="false">[2]calibration_output!D62</f>
        <v>Price</v>
      </c>
      <c r="E13" s="0" t="str">
        <f aca="false">[2]calibration_output!E62</f>
        <v>AGRICULTURE</v>
      </c>
      <c r="F13" s="0" t="str">
        <f aca="false">[2]calibration_output!F62</f>
        <v>PE</v>
      </c>
      <c r="G13" s="0" t="str">
        <f aca="false">[2]calibration_output!G62</f>
        <v>US$2010/GJ</v>
      </c>
      <c r="H13" s="0" t="n">
        <f aca="false">[2]calibration_output!H62</f>
        <v>5593.63567805911</v>
      </c>
    </row>
    <row r="14" customFormat="false" ht="12.8" hidden="false" customHeight="false" outlineLevel="0" collapsed="false">
      <c r="A14" s="0" t="str">
        <f aca="false">[2]calibration_output!A14</f>
        <v>REMIND-MAgPIE 3.2-4.6</v>
      </c>
      <c r="B14" s="0" t="str">
        <f aca="false">[2]calibration_output!B14</f>
        <v>Below 2°C</v>
      </c>
      <c r="C14" s="0" t="str">
        <f aca="false">[2]calibration_output!C63</f>
        <v>REMIND-MAgPIE 3.2-4.6|Canada, NZ, Australia</v>
      </c>
      <c r="D14" s="0" t="str">
        <f aca="false">[2]calibration_output!D63</f>
        <v>Price</v>
      </c>
      <c r="E14" s="0" t="str">
        <f aca="false">[2]calibration_output!E63</f>
        <v>AGRICULTURE</v>
      </c>
      <c r="F14" s="0" t="str">
        <f aca="false">[2]calibration_output!F63</f>
        <v>R&amp;C</v>
      </c>
      <c r="G14" s="0" t="str">
        <f aca="false">[2]calibration_output!G63</f>
        <v>US$2010/GJ</v>
      </c>
      <c r="H14" s="0" t="n">
        <f aca="false">[2]calibration_output!H63</f>
        <v>12724.9891182893</v>
      </c>
    </row>
    <row r="15" customFormat="false" ht="12.8" hidden="false" customHeight="false" outlineLevel="0" collapsed="false">
      <c r="A15" s="0" t="str">
        <f aca="false">[2]calibration_output!A15</f>
        <v>REMIND-MAgPIE 3.2-4.6</v>
      </c>
      <c r="B15" s="0" t="str">
        <f aca="false">[2]calibration_output!B15</f>
        <v>Below 2°C</v>
      </c>
      <c r="C15" s="0" t="str">
        <f aca="false">[2]calibration_output!C64</f>
        <v>REMIND-MAgPIE 3.2-4.6|Canada, NZ, Australia</v>
      </c>
      <c r="D15" s="0" t="str">
        <f aca="false">[2]calibration_output!D64</f>
        <v>Price</v>
      </c>
      <c r="E15" s="0" t="str">
        <f aca="false">[2]calibration_output!E64</f>
        <v>AGRICULTURE</v>
      </c>
      <c r="F15" s="0" t="str">
        <f aca="false">[2]calibration_output!F64</f>
        <v>ST</v>
      </c>
      <c r="G15" s="0" t="str">
        <f aca="false">[2]calibration_output!G64</f>
        <v>US$2010/GJ</v>
      </c>
      <c r="H15" s="0" t="n">
        <f aca="false">[2]calibration_output!H64</f>
        <v>7836.00106104334</v>
      </c>
    </row>
    <row r="16" customFormat="false" ht="12.8" hidden="false" customHeight="false" outlineLevel="0" collapsed="false">
      <c r="A16" s="0" t="s">
        <v>2</v>
      </c>
      <c r="B16" s="0" t="s">
        <v>3</v>
      </c>
      <c r="C16" s="0" t="s">
        <v>4</v>
      </c>
      <c r="D16" s="0" t="s">
        <v>5</v>
      </c>
      <c r="E16" s="0" t="s">
        <v>6</v>
      </c>
      <c r="F16" s="0" t="s">
        <v>7</v>
      </c>
      <c r="H16" s="0" t="n">
        <f aca="false">H2*H9</f>
        <v>0</v>
      </c>
    </row>
    <row r="17" customFormat="false" ht="12.8" hidden="false" customHeight="false" outlineLevel="0" collapsed="false">
      <c r="A17" s="0" t="s">
        <v>2</v>
      </c>
      <c r="B17" s="0" t="s">
        <v>3</v>
      </c>
      <c r="C17" s="0" t="s">
        <v>4</v>
      </c>
      <c r="D17" s="0" t="s">
        <v>5</v>
      </c>
      <c r="E17" s="0" t="s">
        <v>6</v>
      </c>
      <c r="F17" s="0" t="s">
        <v>8</v>
      </c>
      <c r="H17" s="0" t="n">
        <f aca="false">H3*H10</f>
        <v>129.140191298148</v>
      </c>
    </row>
    <row r="18" customFormat="false" ht="12.8" hidden="false" customHeight="false" outlineLevel="0" collapsed="false">
      <c r="A18" s="0" t="s">
        <v>2</v>
      </c>
      <c r="B18" s="0" t="s">
        <v>3</v>
      </c>
      <c r="C18" s="0" t="s">
        <v>4</v>
      </c>
      <c r="D18" s="0" t="s">
        <v>5</v>
      </c>
      <c r="E18" s="0" t="s">
        <v>6</v>
      </c>
      <c r="F18" s="0" t="s">
        <v>9</v>
      </c>
      <c r="H18" s="0" t="n">
        <f aca="false">H4*H11</f>
        <v>4527.1964336385</v>
      </c>
    </row>
    <row r="19" customFormat="false" ht="12.8" hidden="false" customHeight="false" outlineLevel="0" collapsed="false">
      <c r="A19" s="0" t="s">
        <v>2</v>
      </c>
      <c r="B19" s="0" t="s">
        <v>3</v>
      </c>
      <c r="C19" s="0" t="s">
        <v>4</v>
      </c>
      <c r="D19" s="0" t="s">
        <v>5</v>
      </c>
      <c r="E19" s="0" t="s">
        <v>6</v>
      </c>
      <c r="F19" s="0" t="s">
        <v>10</v>
      </c>
      <c r="H19" s="0" t="n">
        <f aca="false">H5*H12</f>
        <v>0</v>
      </c>
    </row>
    <row r="20" customFormat="false" ht="12.8" hidden="false" customHeight="false" outlineLevel="0" collapsed="false">
      <c r="A20" s="0" t="s">
        <v>2</v>
      </c>
      <c r="B20" s="0" t="s">
        <v>3</v>
      </c>
      <c r="C20" s="0" t="s">
        <v>4</v>
      </c>
      <c r="D20" s="0" t="s">
        <v>5</v>
      </c>
      <c r="E20" s="0" t="s">
        <v>6</v>
      </c>
      <c r="F20" s="0" t="s">
        <v>11</v>
      </c>
      <c r="H20" s="0" t="n">
        <f aca="false">H6*H13</f>
        <v>0</v>
      </c>
    </row>
    <row r="21" customFormat="false" ht="12.8" hidden="false" customHeight="false" outlineLevel="0" collapsed="false">
      <c r="A21" s="0" t="s">
        <v>2</v>
      </c>
      <c r="B21" s="0" t="s">
        <v>3</v>
      </c>
      <c r="C21" s="0" t="s">
        <v>4</v>
      </c>
      <c r="D21" s="0" t="s">
        <v>5</v>
      </c>
      <c r="E21" s="0" t="s">
        <v>6</v>
      </c>
      <c r="F21" s="0" t="s">
        <v>12</v>
      </c>
      <c r="H21" s="0" t="n">
        <f aca="false">H7*H14</f>
        <v>0</v>
      </c>
    </row>
    <row r="22" customFormat="false" ht="12.8" hidden="false" customHeight="false" outlineLevel="0" collapsed="false">
      <c r="A22" s="0" t="s">
        <v>2</v>
      </c>
      <c r="B22" s="0" t="s">
        <v>3</v>
      </c>
      <c r="C22" s="0" t="s">
        <v>4</v>
      </c>
      <c r="D22" s="0" t="s">
        <v>5</v>
      </c>
      <c r="E22" s="0" t="s">
        <v>6</v>
      </c>
      <c r="F22" s="0" t="s">
        <v>13</v>
      </c>
      <c r="H22" s="0" t="n">
        <f aca="false">H8*H15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2025-11-13T14:41:56Z</dcterms:created>
  <dc:creator/>
  <dc:description/>
  <dc:language>en-US</dc:language>
  <cp:lastModifiedBy/>
  <dcterms:modified xsi:type="dcterms:W3CDTF">2025-11-13T15:10:08Z</dcterms:modified>
  <cp:revision>2</cp:revision>
  <dc:subject/>
  <dc:title/>
</cp:coreProperties>
</file>