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externalReferences>
    <externalReference r:id="rId4"/>
  </externalReferences>
  <calcPr iterateCount="100" refMode="A1" iterate="false" iterateDelta="1E-01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<sst xmlns="http://schemas.openxmlformats.org/spreadsheetml/2006/main" count="5" uniqueCount="5">
  <si>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Model</t>
  </si>
  <si>
    <t xml:space="preserve">Scenario</t>
  </si>
  <si>
    <t xml:space="preserve">Region</t>
  </si>
  <si>
    <t xml:space="preserve">energy_use</t>
  </si>
  <si>
    <t xml:space="preserve">PE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</si>
</sst>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externalLink" Target="externalLinks/externalLink1.xml"/><Relationship Id="rId5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cache/NGFS_hybridization_augmented.csv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GFS_hybridization_augmented"/>
    </sheetNames>
    <sheetDataSet>
      <sheetData sheetId="0">
        <row r="1">
          <cell r="A1" t="str">
            <v>Model</v>
          </cell>
          <cell r="B1" t="str">
            <v>Scenario</v>
          </cell>
          <cell r="C1" t="str">
            <v>Region</v>
          </cell>
          <cell r="D1" t="str">
            <v>Variable</v>
          </cell>
          <cell r="E1" t="str">
            <v>Unit</v>
          </cell>
          <cell r="F1">
            <v>2020</v>
          </cell>
          <cell r="G1">
            <v>2025</v>
          </cell>
          <cell r="H1">
            <v>2030</v>
          </cell>
          <cell r="I1">
            <v>2035</v>
          </cell>
          <cell r="J1">
            <v>2040</v>
          </cell>
          <cell r="K1">
            <v>2045</v>
          </cell>
          <cell r="L1">
            <v>2050</v>
          </cell>
          <cell r="M1">
            <v>2055</v>
          </cell>
          <cell r="N1">
            <v>2060</v>
          </cell>
          <cell r="O1">
            <v>2070</v>
          </cell>
          <cell r="P1">
            <v>2080</v>
          </cell>
          <cell r="Q1">
            <v>2090</v>
          </cell>
          <cell r="R1">
            <v>2100</v>
          </cell>
        </row>
        <row r="78">
          <cell r="A78" t="str">
            <v>REMIND-MAgPIE 3.2-4.6</v>
          </cell>
          <cell r="B78" t="str">
            <v>Below 2°C</v>
          </cell>
          <cell r="C78" t="str">
            <v>REMIND-MAgPIE 3.2-4.6|Canada, NZ, Australia</v>
          </cell>
        </row>
        <row r="80">
          <cell r="A80" t="str">
            <v>REMIND-MAgPIE 3.2-4.6</v>
          </cell>
          <cell r="B80" t="str">
            <v>Below 2°C</v>
          </cell>
          <cell r="C80" t="str">
            <v>REMIND-MAgPIE 3.2-4.6|Canada, NZ, Australia</v>
          </cell>
          <cell r="D80" t="str">
            <v>Price|Primary Energy|Coal</v>
          </cell>
          <cell r="E80" t="str">
            <v>US$2010/GJ</v>
          </cell>
          <cell r="F80">
            <v>2.034427540406</v>
          </cell>
          <cell r="G80">
            <v>2.160975647232</v>
          </cell>
          <cell r="H80">
            <v>1.782652528252</v>
          </cell>
          <cell r="I80">
            <v>1.61519846335</v>
          </cell>
          <cell r="J80">
            <v>1.418621249204</v>
          </cell>
          <cell r="K80">
            <v>1.42341599102</v>
          </cell>
          <cell r="L80">
            <v>1.493701650924</v>
          </cell>
          <cell r="M80">
            <v>1.350058235774</v>
          </cell>
          <cell r="N80">
            <v>1.950187015078</v>
          </cell>
          <cell r="O80">
            <v>1.919158663808</v>
          </cell>
          <cell r="P80">
            <v>1.88872107028</v>
          </cell>
          <cell r="Q80">
            <v>1.953447758542</v>
          </cell>
          <cell r="R80">
            <v>1.74430888357</v>
          </cell>
        </row>
        <row r="82">
          <cell r="A82" t="str">
            <v>REMIND-MAgPIE 3.2-4.6</v>
          </cell>
          <cell r="B82" t="str">
            <v>Below 2°C</v>
          </cell>
          <cell r="C82" t="str">
            <v>REMIND-MAgPIE 3.2-4.6|Canada, NZ, Australia</v>
          </cell>
          <cell r="D82" t="str">
            <v>Price|Primary Energy|Gas</v>
          </cell>
          <cell r="E82" t="str">
            <v>US$2010/GJ</v>
          </cell>
          <cell r="F82">
            <v>3.971092484078</v>
          </cell>
          <cell r="G82">
            <v>4.598672168322</v>
          </cell>
          <cell r="H82">
            <v>4.467900470424</v>
          </cell>
          <cell r="I82">
            <v>5.204076559376</v>
          </cell>
          <cell r="J82">
            <v>5.144747334264</v>
          </cell>
          <cell r="K82">
            <v>4.8652771605</v>
          </cell>
          <cell r="L82">
            <v>4.904911876152</v>
          </cell>
          <cell r="M82">
            <v>4.57604956972</v>
          </cell>
          <cell r="N82">
            <v>5.896968261698</v>
          </cell>
          <cell r="O82">
            <v>5.222795371444</v>
          </cell>
          <cell r="P82">
            <v>5.038428775318</v>
          </cell>
          <cell r="Q82">
            <v>5.102957399668</v>
          </cell>
          <cell r="R82">
            <v>5.056772063526</v>
          </cell>
        </row>
        <row r="84">
          <cell r="A84" t="str">
            <v>REMIND-MAgPIE 3.2-4.6</v>
          </cell>
          <cell r="B84" t="str">
            <v>Below 2°C</v>
          </cell>
          <cell r="C84" t="str">
            <v>REMIND-MAgPIE 3.2-4.6|Canada, NZ, Australia</v>
          </cell>
          <cell r="D84" t="str">
            <v>Price|Primary Energy|Oil</v>
          </cell>
          <cell r="E84" t="str">
            <v>US$2010/GJ</v>
          </cell>
          <cell r="F84">
            <v>11.191772382616</v>
          </cell>
          <cell r="G84">
            <v>12.394353425874</v>
          </cell>
          <cell r="H84">
            <v>13.193640453524</v>
          </cell>
          <cell r="I84">
            <v>13.153349180374</v>
          </cell>
          <cell r="J84">
            <v>14.381327710934</v>
          </cell>
          <cell r="K84">
            <v>15.788060029814</v>
          </cell>
          <cell r="L84">
            <v>17.037164602236</v>
          </cell>
          <cell r="M84">
            <v>17.707245611704</v>
          </cell>
          <cell r="N84">
            <v>19.60024743244</v>
          </cell>
          <cell r="O84">
            <v>18.938875364078</v>
          </cell>
          <cell r="P84">
            <v>19.14218254182</v>
          </cell>
          <cell r="Q84">
            <v>18.163305049828</v>
          </cell>
          <cell r="R84">
            <v>18.434311536122</v>
          </cell>
        </row>
        <row r="102">
          <cell r="A102" t="str">
            <v>REMIND-MAgPIE 3.2-4.6</v>
          </cell>
          <cell r="B102" t="str">
            <v>Below 2°C</v>
          </cell>
          <cell r="C102" t="str">
            <v>REMIND-MAgPIE 3.2-4.6|Canada, NZ, Australia</v>
          </cell>
          <cell r="D102" t="str">
            <v>Primary Energy|Oil</v>
          </cell>
          <cell r="E102" t="str">
            <v>EJ/yr</v>
          </cell>
          <cell r="F102">
            <v>6.899698</v>
          </cell>
          <cell r="G102">
            <v>6.4793246</v>
          </cell>
          <cell r="H102">
            <v>5.6840899</v>
          </cell>
          <cell r="I102">
            <v>4.2928058</v>
          </cell>
          <cell r="J102">
            <v>2.7944563</v>
          </cell>
          <cell r="K102">
            <v>2.0792783</v>
          </cell>
          <cell r="L102">
            <v>1.6184087</v>
          </cell>
          <cell r="M102">
            <v>1.3246165</v>
          </cell>
          <cell r="N102">
            <v>1.0452837</v>
          </cell>
          <cell r="O102">
            <v>0.6430657</v>
          </cell>
          <cell r="P102">
            <v>0.4047791</v>
          </cell>
          <cell r="Q102">
            <v>0.0261979</v>
          </cell>
          <cell r="R102">
            <v>0.0109348</v>
          </cell>
        </row>
        <row r="127">
          <cell r="A127" t="str">
            <v>REMIND-MAgPIE 3.2-4.6</v>
          </cell>
          <cell r="B127" t="str">
            <v>Below 2°C</v>
          </cell>
          <cell r="C127" t="str">
            <v>REMIND-MAgPIE 3.2-4.6|Canada, NZ, Australia</v>
          </cell>
          <cell r="D127" t="str">
            <v>Primary Energy|Coal|Electricity</v>
          </cell>
          <cell r="E127" t="str">
            <v>EJ/yr</v>
          </cell>
          <cell r="F127">
            <v>1.560161</v>
          </cell>
          <cell r="G127">
            <v>0.6341355</v>
          </cell>
          <cell r="H127">
            <v>0.042104</v>
          </cell>
          <cell r="I127">
            <v>0.0006483999999999</v>
          </cell>
          <cell r="J127">
            <v>0.0004368</v>
          </cell>
          <cell r="K127">
            <v>0.0002442</v>
          </cell>
          <cell r="L127">
            <v>9.34E-005</v>
          </cell>
          <cell r="M127">
            <v>2.7E-005</v>
          </cell>
          <cell r="N127">
            <v>1.71E-005</v>
          </cell>
          <cell r="O127">
            <v>1.77E-005</v>
          </cell>
          <cell r="P127">
            <v>1.64E-005</v>
          </cell>
          <cell r="Q127">
            <v>1.59E-005</v>
          </cell>
          <cell r="R127">
            <v>8.5E-006</v>
          </cell>
        </row>
        <row r="130">
          <cell r="A130" t="str">
            <v>REMIND-MAgPIE 3.2-4.6</v>
          </cell>
          <cell r="B130" t="str">
            <v>Below 2°C</v>
          </cell>
          <cell r="C130" t="str">
            <v>REMIND-MAgPIE 3.2-4.6|Canada, NZ, Australia</v>
          </cell>
          <cell r="D130" t="str">
            <v>Primary Energy|Coal|Gases</v>
          </cell>
          <cell r="E130" t="str">
            <v>EJ/yr</v>
          </cell>
          <cell r="F130">
            <v>0.0001896</v>
          </cell>
          <cell r="G130">
            <v>0.0001395</v>
          </cell>
          <cell r="H130">
            <v>9.39E-005</v>
          </cell>
          <cell r="I130">
            <v>5.37E-005</v>
          </cell>
          <cell r="J130">
            <v>2.24E-005</v>
          </cell>
          <cell r="K130">
            <v>4.7E-006</v>
          </cell>
          <cell r="L130">
            <v>4.7E-006</v>
          </cell>
          <cell r="M130">
            <v>4.7E-006</v>
          </cell>
          <cell r="N130">
            <v>4.7E-006</v>
          </cell>
          <cell r="O130">
            <v>4.7E-006</v>
          </cell>
          <cell r="P130">
            <v>7.3E-006</v>
          </cell>
          <cell r="Q130">
            <v>4.7E-006</v>
          </cell>
          <cell r="R130">
            <v>0</v>
          </cell>
        </row>
        <row r="132">
          <cell r="A132" t="str">
            <v>REMIND-MAgPIE 3.2-4.6</v>
          </cell>
          <cell r="B132" t="str">
            <v>Below 2°C</v>
          </cell>
          <cell r="C132" t="str">
            <v>REMIND-MAgPIE 3.2-4.6|Canada, NZ, Australia</v>
          </cell>
          <cell r="D132" t="str">
            <v>Primary Energy|Coal|Liquids</v>
          </cell>
          <cell r="E132" t="str">
            <v>EJ/yr</v>
          </cell>
          <cell r="F132">
            <v>0</v>
          </cell>
          <cell r="G132">
            <v>1.35E-005</v>
          </cell>
          <cell r="H132">
            <v>1.35E-005</v>
          </cell>
          <cell r="I132">
            <v>1.35E-005</v>
          </cell>
          <cell r="J132">
            <v>1.34E-005</v>
          </cell>
          <cell r="K132">
            <v>1.34E-005</v>
          </cell>
          <cell r="L132">
            <v>1.34E-005</v>
          </cell>
          <cell r="M132">
            <v>1.34E-005</v>
          </cell>
          <cell r="N132">
            <v>1.34E-005</v>
          </cell>
          <cell r="O132">
            <v>1.38E-005</v>
          </cell>
          <cell r="P132">
            <v>1.34E-005</v>
          </cell>
          <cell r="Q132">
            <v>1.34E-005</v>
          </cell>
          <cell r="R132">
            <v>4.9E-006</v>
          </cell>
        </row>
        <row r="134">
          <cell r="A134" t="str">
            <v>REMIND-MAgPIE 3.2-4.6</v>
          </cell>
          <cell r="B134" t="str">
            <v>Below 2°C</v>
          </cell>
          <cell r="C134" t="str">
            <v>REMIND-MAgPIE 3.2-4.6|Canada, NZ, Australia</v>
          </cell>
          <cell r="D134" t="str">
            <v>Primary Energy|Gas|Electricity</v>
          </cell>
          <cell r="E134" t="str">
            <v>EJ/yr</v>
          </cell>
          <cell r="F134">
            <v>0.7484775</v>
          </cell>
          <cell r="G134">
            <v>0.6444422</v>
          </cell>
          <cell r="H134">
            <v>0.314794</v>
          </cell>
          <cell r="I134">
            <v>0.0408502</v>
          </cell>
          <cell r="J134">
            <v>0.0092258999999999</v>
          </cell>
          <cell r="K134">
            <v>0.0056349999999999</v>
          </cell>
          <cell r="L134">
            <v>0.0031949</v>
          </cell>
          <cell r="M134">
            <v>0.0006448</v>
          </cell>
          <cell r="N134">
            <v>2.55E-005</v>
          </cell>
          <cell r="O134">
            <v>1.25E-005</v>
          </cell>
          <cell r="P134">
            <v>1.59E-005</v>
          </cell>
          <cell r="Q134">
            <v>1.25E-005</v>
          </cell>
          <cell r="R134">
            <v>2.4E-006</v>
          </cell>
        </row>
        <row r="139">
          <cell r="A139" t="str">
            <v>REMIND-MAgPIE 3.2-4.6</v>
          </cell>
          <cell r="B139" t="str">
            <v>Below 2°C</v>
          </cell>
          <cell r="C139" t="str">
            <v>REMIND-MAgPIE 3.2-4.6|Canada, NZ, Australia</v>
          </cell>
          <cell r="D139" t="str">
            <v>Primary Energy|Gas|Liquids</v>
          </cell>
          <cell r="E139" t="str">
            <v>EJ/yr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</row>
        <row r="168">
          <cell r="A168" t="str">
            <v>REMIND-MAgPIE 3.2-4.6</v>
          </cell>
          <cell r="B168" t="str">
            <v>Below 2°C</v>
          </cell>
          <cell r="C168" t="str">
            <v>REMIND-MAgPIE 3.2-4.6|Canada, NZ, Australia</v>
          </cell>
          <cell r="D168" t="str">
            <v>Primary Energy|Coal|Heat</v>
          </cell>
          <cell r="E168" t="str">
            <v>EJ/yr</v>
          </cell>
          <cell r="F168">
            <v>2.5E-006</v>
          </cell>
          <cell r="G168">
            <v>4.2E-006</v>
          </cell>
          <cell r="H168">
            <v>4.2E-006</v>
          </cell>
          <cell r="I168">
            <v>4.1E-006</v>
          </cell>
          <cell r="J168">
            <v>4.1E-006</v>
          </cell>
          <cell r="K168">
            <v>4.1E-006</v>
          </cell>
          <cell r="L168">
            <v>4.1E-006</v>
          </cell>
          <cell r="M168">
            <v>4.1E-006</v>
          </cell>
          <cell r="N168">
            <v>4.1E-006</v>
          </cell>
          <cell r="O168">
            <v>4.1E-006</v>
          </cell>
          <cell r="P168">
            <v>4.1E-006</v>
          </cell>
          <cell r="Q168">
            <v>4.1E-006</v>
          </cell>
          <cell r="R168">
            <v>2.3E-006</v>
          </cell>
        </row>
        <row r="169">
          <cell r="A169" t="str">
            <v>REMIND-MAgPIE 3.2-4.6</v>
          </cell>
          <cell r="B169" t="str">
            <v>Below 2°C</v>
          </cell>
          <cell r="C169" t="str">
            <v>REMIND-MAgPIE 3.2-4.6|Canada, NZ, Australia</v>
          </cell>
          <cell r="D169" t="str">
            <v>Primary Energy|Gas|Heat</v>
          </cell>
          <cell r="E169" t="str">
            <v>EJ/yr</v>
          </cell>
          <cell r="F169">
            <v>0.0126123</v>
          </cell>
          <cell r="G169">
            <v>0.0030483</v>
          </cell>
          <cell r="H169">
            <v>0.0001031</v>
          </cell>
          <cell r="I169">
            <v>6.63E-005</v>
          </cell>
          <cell r="J169">
            <v>3.24E-005</v>
          </cell>
          <cell r="K169">
            <v>8.9E-006</v>
          </cell>
          <cell r="L169">
            <v>5.5E-006</v>
          </cell>
          <cell r="M169">
            <v>5.5E-006</v>
          </cell>
          <cell r="N169">
            <v>5.5E-006</v>
          </cell>
          <cell r="O169">
            <v>5.5E-006</v>
          </cell>
          <cell r="P169">
            <v>7.6E-006</v>
          </cell>
          <cell r="Q169">
            <v>5.5E-006</v>
          </cell>
          <cell r="R169">
            <v>1.1E-006</v>
          </cell>
        </row>
      </sheetData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2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F11" activeCellId="0" sqref="F11"/>
    </sheetView>
  </sheetViews>
  <sheetFormatPr defaultColWidth="11.60546875" defaultRowHeight="12.8" zeroHeight="false" outlineLevelRow="0" outlineLevelCol="0"/>
  <cols>
    <col collapsed="false" customWidth="true" hidden="false" outlineLevel="0" max="1" min="1" style="0" width="24.31"/>
    <col collapsed="false" customWidth="true" hidden="false" outlineLevel="0" max="3" min="3" style="0" width="23.3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n">
        <v>2020</v>
      </c>
      <c r="F1" s="0" t="n">
        <v>2025</v>
      </c>
      <c r="G1" s="0" t="n">
        <v>2030</v>
      </c>
      <c r="H1" s="0" t="n">
        <v>2035</v>
      </c>
      <c r="I1" s="0" t="n">
        <v>2040</v>
      </c>
      <c r="J1" s="0" t="n">
        <v>2045</v>
      </c>
      <c r="K1" s="0" t="n">
        <v>2050</v>
      </c>
      <c r="L1" s="0" t="n">
        <v>2055</v>
      </c>
      <c r="M1" s="0" t="n">
        <v>2060</v>
      </c>
      <c r="N1" s="0" t="n">
        <v>2070</v>
      </c>
      <c r="O1" s="0" t="n">
        <v>2080</v>
      </c>
      <c r="P1" s="0" t="n">
        <v>2090</v>
      </c>
      <c r="Q1" s="0" t="n">
        <v>2100</v>
      </c>
    </row>
    <row r="2" customFormat="false" ht="12.8" hidden="false" customHeight="false" outlineLevel="0" collapsed="false">
      <c r="A2" s="0" t="str">
        <f aca="false">[1]NGFS_hybridization_augmented!A78</f>
        <v>REMIND-MAgPIE 3.2-4.6</v>
      </c>
      <c r="B2" s="0" t="str">
        <f aca="false">[1]NGFS_hybridization_augmented!B78</f>
        <v>Below 2°C</v>
      </c>
      <c r="C2" s="0" t="str">
        <f aca="false">[1]NGFS_hybridization_augmented!C78</f>
        <v>REMIND-MAgPIE 3.2-4.6|Canada, NZ, Australia</v>
      </c>
      <c r="D2" s="0" t="s">
        <v>4</v>
      </c>
      <c r="E2" s="0" t="n">
        <f aca="false">(Sheet2!F2*SUM(Sheet2!F5:F8)+Sheet2!F3*SUM(Sheet2!F9:F11)+Sheet2!F4*Sheet2!F12)</f>
        <v>83.4166328286772</v>
      </c>
      <c r="F2" s="0" t="n">
        <f aca="false">(Sheet2!G2*SUM(Sheet2!G5:G8)+Sheet2!G3*SUM(Sheet2!G9:G11)+Sheet2!G4*Sheet2!G12)</f>
        <v>84.6553266728796</v>
      </c>
      <c r="G2" s="0" t="n">
        <f aca="false">(Sheet2!H2*SUM(Sheet2!H5:H8)+Sheet2!H3*SUM(Sheet2!H9:H11)+Sheet2!H4*Sheet2!H12)</f>
        <v>76.476023093404</v>
      </c>
      <c r="H2" s="0" t="n">
        <f aca="false">(Sheet2!I2*SUM(Sheet2!I5:I8)+Sheet2!I3*SUM(Sheet2!I9:I11)+Sheet2!I4*Sheet2!I12)</f>
        <v>56.6788687078105</v>
      </c>
      <c r="I2" s="0" t="n">
        <f aca="false">(Sheet2!J2*SUM(Sheet2!J5:J8)+Sheet2!J3*SUM(Sheet2!J9:J11)+Sheet2!J4*Sheet2!J12)</f>
        <v>40.2362996951784</v>
      </c>
      <c r="J2" s="0" t="n">
        <f aca="false">(Sheet2!K2*SUM(Sheet2!K5:K8)+Sheet2!K3*SUM(Sheet2!K9:K11)+Sheet2!K4*Sheet2!K12)</f>
        <v>32.8556089548757</v>
      </c>
      <c r="K2" s="0" t="n">
        <f aca="false">(Sheet2!L2*SUM(Sheet2!L5:L8)+Sheet2!L3*SUM(Sheet2!L9:L11)+Sheet2!L4*Sheet2!L12)</f>
        <v>27.5889657674701</v>
      </c>
      <c r="L2" s="0" t="n">
        <f aca="false">(Sheet2!M2*SUM(Sheet2!M5:M8)+Sheet2!M3*SUM(Sheet2!M9:M11)+Sheet2!M4*Sheet2!M12)</f>
        <v>23.4583519347161</v>
      </c>
      <c r="M2" s="0" t="n">
        <f aca="false">(Sheet2!N2*SUM(Sheet2!N5:N8)+Sheet2!N3*SUM(Sheet2!N9:N11)+Sheet2!N4*Sheet2!N12)</f>
        <v>20.4880786054622</v>
      </c>
      <c r="N2" s="0" t="n">
        <f aca="false">(Sheet2!O2*SUM(Sheet2!O5:O8)+Sheet2!O3*SUM(Sheet2!O9:O11)+Sheet2!O4*Sheet2!O12)</f>
        <v>12.1791124956244</v>
      </c>
      <c r="O2" s="0" t="n">
        <f aca="false">(Sheet2!P2*SUM(Sheet2!P5:P8)+Sheet2!P3*SUM(Sheet2!P9:P11)+Sheet2!P4*Sheet2!P12)</f>
        <v>7.74855163969793</v>
      </c>
      <c r="P2" s="0" t="n">
        <f aca="false">(Sheet2!Q2*SUM(Sheet2!Q5:Q8)+Sheet2!Q3*SUM(Sheet2!Q9:Q11)+Sheet2!Q4*Sheet2!Q12)</f>
        <v>0.476006728957683</v>
      </c>
      <c r="Q2" s="0" t="n">
        <f aca="false">(Sheet2!R2*SUM(Sheet2!R5:R8)+Sheet2!R3*SUM(Sheet2!R9:R11)+Sheet2!R4*Sheet2!R12)</f>
        <v>0.201620594136881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12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F19" activeCellId="0" sqref="F19"/>
    </sheetView>
  </sheetViews>
  <sheetFormatPr defaultColWidth="11.53515625" defaultRowHeight="12.8" zeroHeight="false" outlineLevelRow="0" outlineLevelCol="0"/>
  <cols>
    <col collapsed="false" customWidth="true" hidden="false" outlineLevel="0" max="4" min="4" style="0" width="35.63"/>
  </cols>
  <sheetData>
    <row r="1" customFormat="false" ht="12.8" hidden="false" customHeight="false" outlineLevel="0" collapsed="false">
      <c r="A1" s="0" t="str">
        <f aca="false">[1]NGFS_hybridization_augmented!A1</f>
        <v>Model</v>
      </c>
      <c r="B1" s="0" t="str">
        <f aca="false">[1]NGFS_hybridization_augmented!B1</f>
        <v>Scenario</v>
      </c>
      <c r="C1" s="0" t="str">
        <f aca="false">[1]NGFS_hybridization_augmented!C1</f>
        <v>Region</v>
      </c>
      <c r="D1" s="0" t="str">
        <f aca="false">[1]NGFS_hybridization_augmented!D1</f>
        <v>Variable</v>
      </c>
      <c r="E1" s="0" t="str">
        <f aca="false">[1]NGFS_hybridization_augmented!E1</f>
        <v>Unit</v>
      </c>
      <c r="F1" s="0" t="n">
        <f aca="false">[1]NGFS_hybridization_augmented!F1</f>
        <v>2020</v>
      </c>
      <c r="G1" s="0" t="n">
        <f aca="false">[1]NGFS_hybridization_augmented!G1</f>
        <v>2025</v>
      </c>
      <c r="H1" s="0" t="n">
        <f aca="false">[1]NGFS_hybridization_augmented!H1</f>
        <v>2030</v>
      </c>
      <c r="I1" s="0" t="n">
        <f aca="false">[1]NGFS_hybridization_augmented!I1</f>
        <v>2035</v>
      </c>
      <c r="J1" s="0" t="n">
        <f aca="false">[1]NGFS_hybridization_augmented!J1</f>
        <v>2040</v>
      </c>
      <c r="K1" s="0" t="n">
        <f aca="false">[1]NGFS_hybridization_augmented!K1</f>
        <v>2045</v>
      </c>
      <c r="L1" s="0" t="n">
        <f aca="false">[1]NGFS_hybridization_augmented!L1</f>
        <v>2050</v>
      </c>
      <c r="M1" s="0" t="n">
        <f aca="false">[1]NGFS_hybridization_augmented!M1</f>
        <v>2055</v>
      </c>
      <c r="N1" s="0" t="n">
        <f aca="false">[1]NGFS_hybridization_augmented!N1</f>
        <v>2060</v>
      </c>
      <c r="O1" s="0" t="n">
        <f aca="false">[1]NGFS_hybridization_augmented!O1</f>
        <v>2070</v>
      </c>
      <c r="P1" s="0" t="n">
        <f aca="false">[1]NGFS_hybridization_augmented!P1</f>
        <v>2080</v>
      </c>
      <c r="Q1" s="0" t="n">
        <f aca="false">[1]NGFS_hybridization_augmented!Q1</f>
        <v>2090</v>
      </c>
      <c r="R1" s="0" t="n">
        <f aca="false">[1]NGFS_hybridization_augmented!R1</f>
        <v>2100</v>
      </c>
    </row>
    <row r="2" customFormat="false" ht="12.8" hidden="false" customHeight="false" outlineLevel="0" collapsed="false">
      <c r="A2" s="0" t="str">
        <f aca="false">[1]NGFS_hybridization_augmented!A80</f>
        <v>REMIND-MAgPIE 3.2-4.6</v>
      </c>
      <c r="B2" s="0" t="str">
        <f aca="false">[1]NGFS_hybridization_augmented!B80</f>
        <v>Below 2°C</v>
      </c>
      <c r="C2" s="0" t="str">
        <f aca="false">[1]NGFS_hybridization_augmented!C80</f>
        <v>REMIND-MAgPIE 3.2-4.6|Canada, NZ, Australia</v>
      </c>
      <c r="D2" s="0" t="str">
        <f aca="false">[1]NGFS_hybridization_augmented!D80</f>
        <v>Price|Primary Energy|Coal</v>
      </c>
      <c r="E2" s="0" t="str">
        <f aca="false">[1]NGFS_hybridization_augmented!E80</f>
        <v>US$2010/GJ</v>
      </c>
      <c r="F2" s="0" t="n">
        <f aca="false">[1]NGFS_hybridization_augmented!F80</f>
        <v>2.034427540406</v>
      </c>
      <c r="G2" s="0" t="n">
        <f aca="false">[1]NGFS_hybridization_augmented!G80</f>
        <v>2.160975647232</v>
      </c>
      <c r="H2" s="0" t="n">
        <f aca="false">[1]NGFS_hybridization_augmented!H80</f>
        <v>1.782652528252</v>
      </c>
      <c r="I2" s="0" t="n">
        <f aca="false">[1]NGFS_hybridization_augmented!I80</f>
        <v>1.61519846335</v>
      </c>
      <c r="J2" s="0" t="n">
        <f aca="false">[1]NGFS_hybridization_augmented!J80</f>
        <v>1.418621249204</v>
      </c>
      <c r="K2" s="0" t="n">
        <f aca="false">[1]NGFS_hybridization_augmented!K80</f>
        <v>1.42341599102</v>
      </c>
      <c r="L2" s="0" t="n">
        <f aca="false">[1]NGFS_hybridization_augmented!L80</f>
        <v>1.493701650924</v>
      </c>
      <c r="M2" s="0" t="n">
        <f aca="false">[1]NGFS_hybridization_augmented!M80</f>
        <v>1.350058235774</v>
      </c>
      <c r="N2" s="0" t="n">
        <f aca="false">[1]NGFS_hybridization_augmented!N80</f>
        <v>1.950187015078</v>
      </c>
      <c r="O2" s="0" t="n">
        <f aca="false">[1]NGFS_hybridization_augmented!O80</f>
        <v>1.919158663808</v>
      </c>
      <c r="P2" s="0" t="n">
        <f aca="false">[1]NGFS_hybridization_augmented!P80</f>
        <v>1.88872107028</v>
      </c>
      <c r="Q2" s="0" t="n">
        <f aca="false">[1]NGFS_hybridization_augmented!Q80</f>
        <v>1.953447758542</v>
      </c>
      <c r="R2" s="0" t="n">
        <f aca="false">[1]NGFS_hybridization_augmented!R80</f>
        <v>1.74430888357</v>
      </c>
    </row>
    <row r="3" customFormat="false" ht="12.8" hidden="false" customHeight="false" outlineLevel="0" collapsed="false">
      <c r="A3" s="0" t="str">
        <f aca="false">[1]NGFS_hybridization_augmented!A82</f>
        <v>REMIND-MAgPIE 3.2-4.6</v>
      </c>
      <c r="B3" s="0" t="str">
        <f aca="false">[1]NGFS_hybridization_augmented!B82</f>
        <v>Below 2°C</v>
      </c>
      <c r="C3" s="0" t="str">
        <f aca="false">[1]NGFS_hybridization_augmented!C82</f>
        <v>REMIND-MAgPIE 3.2-4.6|Canada, NZ, Australia</v>
      </c>
      <c r="D3" s="0" t="str">
        <f aca="false">[1]NGFS_hybridization_augmented!D82</f>
        <v>Price|Primary Energy|Gas</v>
      </c>
      <c r="E3" s="0" t="str">
        <f aca="false">[1]NGFS_hybridization_augmented!E82</f>
        <v>US$2010/GJ</v>
      </c>
      <c r="F3" s="0" t="n">
        <f aca="false">[1]NGFS_hybridization_augmented!F82</f>
        <v>3.971092484078</v>
      </c>
      <c r="G3" s="0" t="n">
        <f aca="false">[1]NGFS_hybridization_augmented!G82</f>
        <v>4.598672168322</v>
      </c>
      <c r="H3" s="0" t="n">
        <f aca="false">[1]NGFS_hybridization_augmented!H82</f>
        <v>4.467900470424</v>
      </c>
      <c r="I3" s="0" t="n">
        <f aca="false">[1]NGFS_hybridization_augmented!I82</f>
        <v>5.204076559376</v>
      </c>
      <c r="J3" s="0" t="n">
        <f aca="false">[1]NGFS_hybridization_augmented!J82</f>
        <v>5.144747334264</v>
      </c>
      <c r="K3" s="0" t="n">
        <f aca="false">[1]NGFS_hybridization_augmented!K82</f>
        <v>4.8652771605</v>
      </c>
      <c r="L3" s="0" t="n">
        <f aca="false">[1]NGFS_hybridization_augmented!L82</f>
        <v>4.904911876152</v>
      </c>
      <c r="M3" s="0" t="n">
        <f aca="false">[1]NGFS_hybridization_augmented!M82</f>
        <v>4.57604956972</v>
      </c>
      <c r="N3" s="0" t="n">
        <f aca="false">[1]NGFS_hybridization_augmented!N82</f>
        <v>5.896968261698</v>
      </c>
      <c r="O3" s="0" t="n">
        <f aca="false">[1]NGFS_hybridization_augmented!O82</f>
        <v>5.222795371444</v>
      </c>
      <c r="P3" s="0" t="n">
        <f aca="false">[1]NGFS_hybridization_augmented!P82</f>
        <v>5.038428775318</v>
      </c>
      <c r="Q3" s="0" t="n">
        <f aca="false">[1]NGFS_hybridization_augmented!Q82</f>
        <v>5.102957399668</v>
      </c>
      <c r="R3" s="0" t="n">
        <f aca="false">[1]NGFS_hybridization_augmented!R82</f>
        <v>5.056772063526</v>
      </c>
    </row>
    <row r="4" customFormat="false" ht="12.8" hidden="false" customHeight="false" outlineLevel="0" collapsed="false">
      <c r="A4" s="0" t="str">
        <f aca="false">[1]NGFS_hybridization_augmented!A84</f>
        <v>REMIND-MAgPIE 3.2-4.6</v>
      </c>
      <c r="B4" s="0" t="str">
        <f aca="false">[1]NGFS_hybridization_augmented!B84</f>
        <v>Below 2°C</v>
      </c>
      <c r="C4" s="0" t="str">
        <f aca="false">[1]NGFS_hybridization_augmented!C84</f>
        <v>REMIND-MAgPIE 3.2-4.6|Canada, NZ, Australia</v>
      </c>
      <c r="D4" s="0" t="str">
        <f aca="false">[1]NGFS_hybridization_augmented!D84</f>
        <v>Price|Primary Energy|Oil</v>
      </c>
      <c r="E4" s="0" t="str">
        <f aca="false">[1]NGFS_hybridization_augmented!E84</f>
        <v>US$2010/GJ</v>
      </c>
      <c r="F4" s="0" t="n">
        <f aca="false">[1]NGFS_hybridization_augmented!F84</f>
        <v>11.191772382616</v>
      </c>
      <c r="G4" s="0" t="n">
        <f aca="false">[1]NGFS_hybridization_augmented!G84</f>
        <v>12.394353425874</v>
      </c>
      <c r="H4" s="0" t="n">
        <f aca="false">[1]NGFS_hybridization_augmented!H84</f>
        <v>13.193640453524</v>
      </c>
      <c r="I4" s="0" t="n">
        <f aca="false">[1]NGFS_hybridization_augmented!I84</f>
        <v>13.153349180374</v>
      </c>
      <c r="J4" s="0" t="n">
        <f aca="false">[1]NGFS_hybridization_augmented!J84</f>
        <v>14.381327710934</v>
      </c>
      <c r="K4" s="0" t="n">
        <f aca="false">[1]NGFS_hybridization_augmented!K84</f>
        <v>15.788060029814</v>
      </c>
      <c r="L4" s="0" t="n">
        <f aca="false">[1]NGFS_hybridization_augmented!L84</f>
        <v>17.037164602236</v>
      </c>
      <c r="M4" s="0" t="n">
        <f aca="false">[1]NGFS_hybridization_augmented!M84</f>
        <v>17.707245611704</v>
      </c>
      <c r="N4" s="0" t="n">
        <f aca="false">[1]NGFS_hybridization_augmented!N84</f>
        <v>19.60024743244</v>
      </c>
      <c r="O4" s="0" t="n">
        <f aca="false">[1]NGFS_hybridization_augmented!O84</f>
        <v>18.938875364078</v>
      </c>
      <c r="P4" s="0" t="n">
        <f aca="false">[1]NGFS_hybridization_augmented!P84</f>
        <v>19.14218254182</v>
      </c>
      <c r="Q4" s="0" t="n">
        <f aca="false">[1]NGFS_hybridization_augmented!Q84</f>
        <v>18.163305049828</v>
      </c>
      <c r="R4" s="0" t="n">
        <f aca="false">[1]NGFS_hybridization_augmented!R84</f>
        <v>18.434311536122</v>
      </c>
    </row>
    <row r="5" customFormat="false" ht="12.8" hidden="false" customHeight="false" outlineLevel="0" collapsed="false">
      <c r="A5" s="0" t="str">
        <f aca="false">[1]NGFS_hybridization_augmented!A127</f>
        <v>REMIND-MAgPIE 3.2-4.6</v>
      </c>
      <c r="B5" s="0" t="str">
        <f aca="false">[1]NGFS_hybridization_augmented!B127</f>
        <v>Below 2°C</v>
      </c>
      <c r="C5" s="0" t="str">
        <f aca="false">[1]NGFS_hybridization_augmented!C127</f>
        <v>REMIND-MAgPIE 3.2-4.6|Canada, NZ, Australia</v>
      </c>
      <c r="D5" s="0" t="str">
        <f aca="false">[1]NGFS_hybridization_augmented!D127</f>
        <v>Primary Energy|Coal|Electricity</v>
      </c>
      <c r="E5" s="0" t="str">
        <f aca="false">[1]NGFS_hybridization_augmented!E127</f>
        <v>EJ/yr</v>
      </c>
      <c r="F5" s="0" t="n">
        <f aca="false">[1]NGFS_hybridization_augmented!F127</f>
        <v>1.560161</v>
      </c>
      <c r="G5" s="0" t="n">
        <f aca="false">[1]NGFS_hybridization_augmented!G127</f>
        <v>0.6341355</v>
      </c>
      <c r="H5" s="0" t="n">
        <f aca="false">[1]NGFS_hybridization_augmented!H127</f>
        <v>0.042104</v>
      </c>
      <c r="I5" s="0" t="n">
        <f aca="false">[1]NGFS_hybridization_augmented!I127</f>
        <v>0.0006483999999999</v>
      </c>
      <c r="J5" s="0" t="n">
        <f aca="false">[1]NGFS_hybridization_augmented!J127</f>
        <v>0.0004368</v>
      </c>
      <c r="K5" s="0" t="n">
        <f aca="false">[1]NGFS_hybridization_augmented!K127</f>
        <v>0.0002442</v>
      </c>
      <c r="L5" s="0" t="n">
        <f aca="false">[1]NGFS_hybridization_augmented!L127</f>
        <v>9.34E-005</v>
      </c>
      <c r="M5" s="0" t="n">
        <f aca="false">[1]NGFS_hybridization_augmented!M127</f>
        <v>2.7E-005</v>
      </c>
      <c r="N5" s="0" t="n">
        <f aca="false">[1]NGFS_hybridization_augmented!N127</f>
        <v>1.71E-005</v>
      </c>
      <c r="O5" s="0" t="n">
        <f aca="false">[1]NGFS_hybridization_augmented!O127</f>
        <v>1.77E-005</v>
      </c>
      <c r="P5" s="0" t="n">
        <f aca="false">[1]NGFS_hybridization_augmented!P127</f>
        <v>1.64E-005</v>
      </c>
      <c r="Q5" s="0" t="n">
        <f aca="false">[1]NGFS_hybridization_augmented!Q127</f>
        <v>1.59E-005</v>
      </c>
      <c r="R5" s="0" t="n">
        <f aca="false">[1]NGFS_hybridization_augmented!R127</f>
        <v>8.5E-006</v>
      </c>
    </row>
    <row r="6" customFormat="false" ht="12.8" hidden="false" customHeight="false" outlineLevel="0" collapsed="false">
      <c r="A6" s="0" t="str">
        <f aca="false">[1]NGFS_hybridization_augmented!A130</f>
        <v>REMIND-MAgPIE 3.2-4.6</v>
      </c>
      <c r="B6" s="0" t="str">
        <f aca="false">[1]NGFS_hybridization_augmented!B130</f>
        <v>Below 2°C</v>
      </c>
      <c r="C6" s="0" t="str">
        <f aca="false">[1]NGFS_hybridization_augmented!C130</f>
        <v>REMIND-MAgPIE 3.2-4.6|Canada, NZ, Australia</v>
      </c>
      <c r="D6" s="0" t="str">
        <f aca="false">[1]NGFS_hybridization_augmented!D130</f>
        <v>Primary Energy|Coal|Gases</v>
      </c>
      <c r="E6" s="0" t="str">
        <f aca="false">[1]NGFS_hybridization_augmented!E130</f>
        <v>EJ/yr</v>
      </c>
      <c r="F6" s="0" t="n">
        <f aca="false">[1]NGFS_hybridization_augmented!F130</f>
        <v>0.0001896</v>
      </c>
      <c r="G6" s="0" t="n">
        <f aca="false">[1]NGFS_hybridization_augmented!G130</f>
        <v>0.0001395</v>
      </c>
      <c r="H6" s="0" t="n">
        <f aca="false">[1]NGFS_hybridization_augmented!H130</f>
        <v>9.39E-005</v>
      </c>
      <c r="I6" s="0" t="n">
        <f aca="false">[1]NGFS_hybridization_augmented!I130</f>
        <v>5.37E-005</v>
      </c>
      <c r="J6" s="0" t="n">
        <f aca="false">[1]NGFS_hybridization_augmented!J130</f>
        <v>2.24E-005</v>
      </c>
      <c r="K6" s="0" t="n">
        <f aca="false">[1]NGFS_hybridization_augmented!K130</f>
        <v>4.7E-006</v>
      </c>
      <c r="L6" s="0" t="n">
        <f aca="false">[1]NGFS_hybridization_augmented!L130</f>
        <v>4.7E-006</v>
      </c>
      <c r="M6" s="0" t="n">
        <f aca="false">[1]NGFS_hybridization_augmented!M130</f>
        <v>4.7E-006</v>
      </c>
      <c r="N6" s="0" t="n">
        <f aca="false">[1]NGFS_hybridization_augmented!N130</f>
        <v>4.7E-006</v>
      </c>
      <c r="O6" s="0" t="n">
        <f aca="false">[1]NGFS_hybridization_augmented!O130</f>
        <v>4.7E-006</v>
      </c>
      <c r="P6" s="0" t="n">
        <f aca="false">[1]NGFS_hybridization_augmented!P130</f>
        <v>7.3E-006</v>
      </c>
      <c r="Q6" s="0" t="n">
        <f aca="false">[1]NGFS_hybridization_augmented!Q130</f>
        <v>4.7E-006</v>
      </c>
      <c r="R6" s="0" t="n">
        <f aca="false">[1]NGFS_hybridization_augmented!R130</f>
        <v>0</v>
      </c>
    </row>
    <row r="7" customFormat="false" ht="12.8" hidden="false" customHeight="false" outlineLevel="0" collapsed="false">
      <c r="A7" s="0" t="str">
        <f aca="false">[1]NGFS_hybridization_augmented!A132</f>
        <v>REMIND-MAgPIE 3.2-4.6</v>
      </c>
      <c r="B7" s="0" t="str">
        <f aca="false">[1]NGFS_hybridization_augmented!B132</f>
        <v>Below 2°C</v>
      </c>
      <c r="C7" s="0" t="str">
        <f aca="false">[1]NGFS_hybridization_augmented!C132</f>
        <v>REMIND-MAgPIE 3.2-4.6|Canada, NZ, Australia</v>
      </c>
      <c r="D7" s="0" t="str">
        <f aca="false">[1]NGFS_hybridization_augmented!D132</f>
        <v>Primary Energy|Coal|Liquids</v>
      </c>
      <c r="E7" s="0" t="str">
        <f aca="false">[1]NGFS_hybridization_augmented!E132</f>
        <v>EJ/yr</v>
      </c>
      <c r="F7" s="0" t="n">
        <f aca="false">[1]NGFS_hybridization_augmented!F132</f>
        <v>0</v>
      </c>
      <c r="G7" s="0" t="n">
        <f aca="false">[1]NGFS_hybridization_augmented!G132</f>
        <v>1.35E-005</v>
      </c>
      <c r="H7" s="0" t="n">
        <f aca="false">[1]NGFS_hybridization_augmented!H132</f>
        <v>1.35E-005</v>
      </c>
      <c r="I7" s="0" t="n">
        <f aca="false">[1]NGFS_hybridization_augmented!I132</f>
        <v>1.35E-005</v>
      </c>
      <c r="J7" s="0" t="n">
        <f aca="false">[1]NGFS_hybridization_augmented!J132</f>
        <v>1.34E-005</v>
      </c>
      <c r="K7" s="0" t="n">
        <f aca="false">[1]NGFS_hybridization_augmented!K132</f>
        <v>1.34E-005</v>
      </c>
      <c r="L7" s="0" t="n">
        <f aca="false">[1]NGFS_hybridization_augmented!L132</f>
        <v>1.34E-005</v>
      </c>
      <c r="M7" s="0" t="n">
        <f aca="false">[1]NGFS_hybridization_augmented!M132</f>
        <v>1.34E-005</v>
      </c>
      <c r="N7" s="0" t="n">
        <f aca="false">[1]NGFS_hybridization_augmented!N132</f>
        <v>1.34E-005</v>
      </c>
      <c r="O7" s="0" t="n">
        <f aca="false">[1]NGFS_hybridization_augmented!O132</f>
        <v>1.38E-005</v>
      </c>
      <c r="P7" s="0" t="n">
        <f aca="false">[1]NGFS_hybridization_augmented!P132</f>
        <v>1.34E-005</v>
      </c>
      <c r="Q7" s="0" t="n">
        <f aca="false">[1]NGFS_hybridization_augmented!Q132</f>
        <v>1.34E-005</v>
      </c>
      <c r="R7" s="0" t="n">
        <f aca="false">[1]NGFS_hybridization_augmented!R132</f>
        <v>4.9E-006</v>
      </c>
    </row>
    <row r="8" customFormat="false" ht="12.8" hidden="false" customHeight="false" outlineLevel="0" collapsed="false">
      <c r="A8" s="0" t="str">
        <f aca="false">[1]NGFS_hybridization_augmented!A168</f>
        <v>REMIND-MAgPIE 3.2-4.6</v>
      </c>
      <c r="B8" s="0" t="str">
        <f aca="false">[1]NGFS_hybridization_augmented!B168</f>
        <v>Below 2°C</v>
      </c>
      <c r="C8" s="0" t="str">
        <f aca="false">[1]NGFS_hybridization_augmented!C168</f>
        <v>REMIND-MAgPIE 3.2-4.6|Canada, NZ, Australia</v>
      </c>
      <c r="D8" s="0" t="str">
        <f aca="false">[1]NGFS_hybridization_augmented!D168</f>
        <v>Primary Energy|Coal|Heat</v>
      </c>
      <c r="E8" s="0" t="str">
        <f aca="false">[1]NGFS_hybridization_augmented!E168</f>
        <v>EJ/yr</v>
      </c>
      <c r="F8" s="0" t="n">
        <f aca="false">[1]NGFS_hybridization_augmented!F168</f>
        <v>2.5E-006</v>
      </c>
      <c r="G8" s="0" t="n">
        <f aca="false">[1]NGFS_hybridization_augmented!G168</f>
        <v>4.2E-006</v>
      </c>
      <c r="H8" s="0" t="n">
        <f aca="false">[1]NGFS_hybridization_augmented!H168</f>
        <v>4.2E-006</v>
      </c>
      <c r="I8" s="0" t="n">
        <f aca="false">[1]NGFS_hybridization_augmented!I168</f>
        <v>4.1E-006</v>
      </c>
      <c r="J8" s="0" t="n">
        <f aca="false">[1]NGFS_hybridization_augmented!J168</f>
        <v>4.1E-006</v>
      </c>
      <c r="K8" s="0" t="n">
        <f aca="false">[1]NGFS_hybridization_augmented!K168</f>
        <v>4.1E-006</v>
      </c>
      <c r="L8" s="0" t="n">
        <f aca="false">[1]NGFS_hybridization_augmented!L168</f>
        <v>4.1E-006</v>
      </c>
      <c r="M8" s="0" t="n">
        <f aca="false">[1]NGFS_hybridization_augmented!M168</f>
        <v>4.1E-006</v>
      </c>
      <c r="N8" s="0" t="n">
        <f aca="false">[1]NGFS_hybridization_augmented!N168</f>
        <v>4.1E-006</v>
      </c>
      <c r="O8" s="0" t="n">
        <f aca="false">[1]NGFS_hybridization_augmented!O168</f>
        <v>4.1E-006</v>
      </c>
      <c r="P8" s="0" t="n">
        <f aca="false">[1]NGFS_hybridization_augmented!P168</f>
        <v>4.1E-006</v>
      </c>
      <c r="Q8" s="0" t="n">
        <f aca="false">[1]NGFS_hybridization_augmented!Q168</f>
        <v>4.1E-006</v>
      </c>
      <c r="R8" s="0" t="n">
        <f aca="false">[1]NGFS_hybridization_augmented!R168</f>
        <v>2.3E-006</v>
      </c>
    </row>
    <row r="9" customFormat="false" ht="12.8" hidden="false" customHeight="false" outlineLevel="0" collapsed="false">
      <c r="A9" s="0" t="str">
        <f aca="false">[1]NGFS_hybridization_augmented!A134</f>
        <v>REMIND-MAgPIE 3.2-4.6</v>
      </c>
      <c r="B9" s="0" t="str">
        <f aca="false">[1]NGFS_hybridization_augmented!B134</f>
        <v>Below 2°C</v>
      </c>
      <c r="C9" s="0" t="str">
        <f aca="false">[1]NGFS_hybridization_augmented!C134</f>
        <v>REMIND-MAgPIE 3.2-4.6|Canada, NZ, Australia</v>
      </c>
      <c r="D9" s="0" t="str">
        <f aca="false">[1]NGFS_hybridization_augmented!D134</f>
        <v>Primary Energy|Gas|Electricity</v>
      </c>
      <c r="E9" s="0" t="str">
        <f aca="false">[1]NGFS_hybridization_augmented!E134</f>
        <v>EJ/yr</v>
      </c>
      <c r="F9" s="0" t="n">
        <f aca="false">[1]NGFS_hybridization_augmented!F134</f>
        <v>0.7484775</v>
      </c>
      <c r="G9" s="0" t="n">
        <f aca="false">[1]NGFS_hybridization_augmented!G134</f>
        <v>0.6444422</v>
      </c>
      <c r="H9" s="0" t="n">
        <f aca="false">[1]NGFS_hybridization_augmented!H134</f>
        <v>0.314794</v>
      </c>
      <c r="I9" s="0" t="n">
        <f aca="false">[1]NGFS_hybridization_augmented!I134</f>
        <v>0.0408502</v>
      </c>
      <c r="J9" s="0" t="n">
        <f aca="false">[1]NGFS_hybridization_augmented!J134</f>
        <v>0.0092258999999999</v>
      </c>
      <c r="K9" s="0" t="n">
        <f aca="false">[1]NGFS_hybridization_augmented!K134</f>
        <v>0.0056349999999999</v>
      </c>
      <c r="L9" s="0" t="n">
        <f aca="false">[1]NGFS_hybridization_augmented!L134</f>
        <v>0.0031949</v>
      </c>
      <c r="M9" s="0" t="n">
        <f aca="false">[1]NGFS_hybridization_augmented!M134</f>
        <v>0.0006448</v>
      </c>
      <c r="N9" s="0" t="n">
        <f aca="false">[1]NGFS_hybridization_augmented!N134</f>
        <v>2.55E-005</v>
      </c>
      <c r="O9" s="0" t="n">
        <f aca="false">[1]NGFS_hybridization_augmented!O134</f>
        <v>1.25E-005</v>
      </c>
      <c r="P9" s="0" t="n">
        <f aca="false">[1]NGFS_hybridization_augmented!P134</f>
        <v>1.59E-005</v>
      </c>
      <c r="Q9" s="0" t="n">
        <f aca="false">[1]NGFS_hybridization_augmented!Q134</f>
        <v>1.25E-005</v>
      </c>
      <c r="R9" s="0" t="n">
        <f aca="false">[1]NGFS_hybridization_augmented!R134</f>
        <v>2.4E-006</v>
      </c>
    </row>
    <row r="10" customFormat="false" ht="12.8" hidden="false" customHeight="false" outlineLevel="0" collapsed="false">
      <c r="A10" s="0" t="str">
        <f aca="false">[1]NGFS_hybridization_augmented!A139</f>
        <v>REMIND-MAgPIE 3.2-4.6</v>
      </c>
      <c r="B10" s="0" t="str">
        <f aca="false">[1]NGFS_hybridization_augmented!B139</f>
        <v>Below 2°C</v>
      </c>
      <c r="C10" s="0" t="str">
        <f aca="false">[1]NGFS_hybridization_augmented!C139</f>
        <v>REMIND-MAgPIE 3.2-4.6|Canada, NZ, Australia</v>
      </c>
      <c r="D10" s="0" t="str">
        <f aca="false">[1]NGFS_hybridization_augmented!D139</f>
        <v>Primary Energy|Gas|Liquids</v>
      </c>
      <c r="E10" s="0" t="str">
        <f aca="false">[1]NGFS_hybridization_augmented!E139</f>
        <v>EJ/yr</v>
      </c>
      <c r="F10" s="0" t="n">
        <f aca="false">[1]NGFS_hybridization_augmented!F139</f>
        <v>0</v>
      </c>
      <c r="G10" s="0" t="n">
        <f aca="false">[1]NGFS_hybridization_augmented!G139</f>
        <v>0</v>
      </c>
      <c r="H10" s="0" t="n">
        <f aca="false">[1]NGFS_hybridization_augmented!H139</f>
        <v>0</v>
      </c>
      <c r="I10" s="0" t="n">
        <f aca="false">[1]NGFS_hybridization_augmented!I139</f>
        <v>0</v>
      </c>
      <c r="J10" s="0" t="n">
        <f aca="false">[1]NGFS_hybridization_augmented!J139</f>
        <v>0</v>
      </c>
      <c r="K10" s="0" t="n">
        <f aca="false">[1]NGFS_hybridization_augmented!K139</f>
        <v>0</v>
      </c>
      <c r="L10" s="0" t="n">
        <f aca="false">[1]NGFS_hybridization_augmented!L139</f>
        <v>0</v>
      </c>
      <c r="M10" s="0" t="n">
        <f aca="false">[1]NGFS_hybridization_augmented!M139</f>
        <v>0</v>
      </c>
      <c r="N10" s="0" t="n">
        <f aca="false">[1]NGFS_hybridization_augmented!N139</f>
        <v>0</v>
      </c>
      <c r="O10" s="0" t="n">
        <f aca="false">[1]NGFS_hybridization_augmented!O139</f>
        <v>0</v>
      </c>
      <c r="P10" s="0" t="n">
        <f aca="false">[1]NGFS_hybridization_augmented!P139</f>
        <v>0</v>
      </c>
      <c r="Q10" s="0" t="n">
        <f aca="false">[1]NGFS_hybridization_augmented!Q139</f>
        <v>0</v>
      </c>
      <c r="R10" s="0" t="n">
        <f aca="false">[1]NGFS_hybridization_augmented!R139</f>
        <v>0</v>
      </c>
    </row>
    <row r="11" customFormat="false" ht="12.8" hidden="false" customHeight="false" outlineLevel="0" collapsed="false">
      <c r="A11" s="0" t="str">
        <f aca="false">[1]NGFS_hybridization_augmented!A169</f>
        <v>REMIND-MAgPIE 3.2-4.6</v>
      </c>
      <c r="B11" s="0" t="str">
        <f aca="false">[1]NGFS_hybridization_augmented!B169</f>
        <v>Below 2°C</v>
      </c>
      <c r="C11" s="0" t="str">
        <f aca="false">[1]NGFS_hybridization_augmented!C169</f>
        <v>REMIND-MAgPIE 3.2-4.6|Canada, NZ, Australia</v>
      </c>
      <c r="D11" s="0" t="str">
        <f aca="false">[1]NGFS_hybridization_augmented!D169</f>
        <v>Primary Energy|Gas|Heat</v>
      </c>
      <c r="E11" s="0" t="str">
        <f aca="false">[1]NGFS_hybridization_augmented!E169</f>
        <v>EJ/yr</v>
      </c>
      <c r="F11" s="0" t="n">
        <f aca="false">[1]NGFS_hybridization_augmented!F169</f>
        <v>0.0126123</v>
      </c>
      <c r="G11" s="0" t="n">
        <f aca="false">[1]NGFS_hybridization_augmented!G169</f>
        <v>0.0030483</v>
      </c>
      <c r="H11" s="0" t="n">
        <f aca="false">[1]NGFS_hybridization_augmented!H169</f>
        <v>0.0001031</v>
      </c>
      <c r="I11" s="0" t="n">
        <f aca="false">[1]NGFS_hybridization_augmented!I169</f>
        <v>6.63E-005</v>
      </c>
      <c r="J11" s="0" t="n">
        <f aca="false">[1]NGFS_hybridization_augmented!J169</f>
        <v>3.24E-005</v>
      </c>
      <c r="K11" s="0" t="n">
        <f aca="false">[1]NGFS_hybridization_augmented!K169</f>
        <v>8.9E-006</v>
      </c>
      <c r="L11" s="0" t="n">
        <f aca="false">[1]NGFS_hybridization_augmented!L169</f>
        <v>5.5E-006</v>
      </c>
      <c r="M11" s="0" t="n">
        <f aca="false">[1]NGFS_hybridization_augmented!M169</f>
        <v>5.5E-006</v>
      </c>
      <c r="N11" s="0" t="n">
        <f aca="false">[1]NGFS_hybridization_augmented!N169</f>
        <v>5.5E-006</v>
      </c>
      <c r="O11" s="0" t="n">
        <f aca="false">[1]NGFS_hybridization_augmented!O169</f>
        <v>5.5E-006</v>
      </c>
      <c r="P11" s="0" t="n">
        <f aca="false">[1]NGFS_hybridization_augmented!P169</f>
        <v>7.6E-006</v>
      </c>
      <c r="Q11" s="0" t="n">
        <f aca="false">[1]NGFS_hybridization_augmented!Q169</f>
        <v>5.5E-006</v>
      </c>
      <c r="R11" s="0" t="n">
        <f aca="false">[1]NGFS_hybridization_augmented!R169</f>
        <v>1.1E-006</v>
      </c>
    </row>
    <row r="12" customFormat="false" ht="12.8" hidden="false" customHeight="false" outlineLevel="0" collapsed="false">
      <c r="A12" s="0" t="str">
        <f aca="false">[1]NGFS_hybridization_augmented!A102</f>
        <v>REMIND-MAgPIE 3.2-4.6</v>
      </c>
      <c r="B12" s="0" t="str">
        <f aca="false">[1]NGFS_hybridization_augmented!B102</f>
        <v>Below 2°C</v>
      </c>
      <c r="C12" s="0" t="str">
        <f aca="false">[1]NGFS_hybridization_augmented!C102</f>
        <v>REMIND-MAgPIE 3.2-4.6|Canada, NZ, Australia</v>
      </c>
      <c r="D12" s="0" t="str">
        <f aca="false">[1]NGFS_hybridization_augmented!D102</f>
        <v>Primary Energy|Oil</v>
      </c>
      <c r="E12" s="0" t="str">
        <f aca="false">[1]NGFS_hybridization_augmented!E102</f>
        <v>EJ/yr</v>
      </c>
      <c r="F12" s="0" t="n">
        <f aca="false">[1]NGFS_hybridization_augmented!F102</f>
        <v>6.899698</v>
      </c>
      <c r="G12" s="0" t="n">
        <f aca="false">[1]NGFS_hybridization_augmented!G102</f>
        <v>6.4793246</v>
      </c>
      <c r="H12" s="0" t="n">
        <f aca="false">[1]NGFS_hybridization_augmented!H102</f>
        <v>5.6840899</v>
      </c>
      <c r="I12" s="0" t="n">
        <f aca="false">[1]NGFS_hybridization_augmented!I102</f>
        <v>4.2928058</v>
      </c>
      <c r="J12" s="0" t="n">
        <f aca="false">[1]NGFS_hybridization_augmented!J102</f>
        <v>2.7944563</v>
      </c>
      <c r="K12" s="0" t="n">
        <f aca="false">[1]NGFS_hybridization_augmented!K102</f>
        <v>2.0792783</v>
      </c>
      <c r="L12" s="0" t="n">
        <f aca="false">[1]NGFS_hybridization_augmented!L102</f>
        <v>1.6184087</v>
      </c>
      <c r="M12" s="0" t="n">
        <f aca="false">[1]NGFS_hybridization_augmented!M102</f>
        <v>1.3246165</v>
      </c>
      <c r="N12" s="0" t="n">
        <f aca="false">[1]NGFS_hybridization_augmented!N102</f>
        <v>1.0452837</v>
      </c>
      <c r="O12" s="0" t="n">
        <f aca="false">[1]NGFS_hybridization_augmented!O102</f>
        <v>0.6430657</v>
      </c>
      <c r="P12" s="0" t="n">
        <f aca="false">[1]NGFS_hybridization_augmented!P102</f>
        <v>0.4047791</v>
      </c>
      <c r="Q12" s="0" t="n">
        <f aca="false">[1]NGFS_hybridization_augmented!Q102</f>
        <v>0.0261979</v>
      </c>
      <c r="R12" s="0" t="n">
        <f aca="false">[1]NGFS_hybridization_augmented!R102</f>
        <v>0.0109348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2025-10-31T18:17:40Z</dcterms:created>
  <dc:creator/>
  <dc:description/>
  <dc:language>en-US</dc:language>
  <cp:lastModifiedBy/>
  <dcterms:modified xsi:type="dcterms:W3CDTF">2025-11-03T16:34:22Z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